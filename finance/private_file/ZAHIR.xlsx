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an\Downloads\"/>
    </mc:Choice>
  </mc:AlternateContent>
  <xr:revisionPtr revIDLastSave="0" documentId="13_ncr:1_{2AC0C05E-77DB-4C9E-9C01-C87BFF77E80F}" xr6:coauthVersionLast="47" xr6:coauthVersionMax="47" xr10:uidLastSave="{00000000-0000-0000-0000-000000000000}"/>
  <bookViews>
    <workbookView xWindow="28680" yWindow="-120" windowWidth="29040" windowHeight="15720" xr2:uid="{9B74D300-BF5B-46BF-A634-771A652E95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2" i="1"/>
</calcChain>
</file>

<file path=xl/sharedStrings.xml><?xml version="1.0" encoding="utf-8"?>
<sst xmlns="http://schemas.openxmlformats.org/spreadsheetml/2006/main" count="58" uniqueCount="26">
  <si>
    <t>Tanggal</t>
  </si>
  <si>
    <t>Reference Code</t>
  </si>
  <si>
    <t>Reference Number</t>
  </si>
  <si>
    <t>Saldo</t>
  </si>
  <si>
    <t>GJ</t>
  </si>
  <si>
    <t>TRANS</t>
  </si>
  <si>
    <t>Transfer Bank Panin (KM-IDR) ke Kas</t>
  </si>
  <si>
    <t>CD</t>
  </si>
  <si>
    <t>CD013087</t>
  </si>
  <si>
    <t>Pengeluaran, OPERASIONAL</t>
  </si>
  <si>
    <t>Deskripsi</t>
  </si>
  <si>
    <t>Debet (Uang Masuk)</t>
  </si>
  <si>
    <t>Kredit (Uang Keluar)</t>
  </si>
  <si>
    <t>Transfer Bank Panin (KM-IDR) ke Kas Kecil</t>
  </si>
  <si>
    <t>Transfer Pinjaman PRK OCBC ke Bank Panin (KM-IDR)</t>
  </si>
  <si>
    <t>CR</t>
  </si>
  <si>
    <t>CR008324</t>
  </si>
  <si>
    <t>Penerimaan, OPERASIONAL</t>
  </si>
  <si>
    <t>CD013085</t>
  </si>
  <si>
    <t>Transfer Bank Panin (KM-IDR) ke Pinjaman Bank BTPN</t>
  </si>
  <si>
    <t>CR008322</t>
  </si>
  <si>
    <t xml:space="preserve">Penerimaan dari PT. PGAS SOLUTION </t>
  </si>
  <si>
    <t>CR008319</t>
  </si>
  <si>
    <t xml:space="preserve">Penerimaan dari PT. MUSI HUTAN PERSADA </t>
  </si>
  <si>
    <t>CR008320</t>
  </si>
  <si>
    <t>Penerimaan dari PT. MULTI BINTANG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</si>
</sst>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. &quot;mmmm\ yyyy"/>
  </numFmts>
  <fonts count="5" x14ac:knownFonts="1">
    <font>
      <sz val="11"/>
      <color theme="1"/>
      <name val="Aptos Narrow"/>
      <family val="2"/>
      <scheme val="minor"/>
    </font>
    <font>
      <sz val="8"/>
      <color indexed="8"/>
      <name val="Arial"/>
      <family val="2"/>
    </font>
    <font>
      <sz val="12"/>
      <color theme="1"/>
      <name val="Aptos Display"/>
      <family val="2"/>
      <scheme val="major"/>
    </font>
    <font>
      <sz val="12"/>
      <name val="Aptos Display"/>
      <family val="2"/>
      <scheme val="major"/>
    </font>
    <font>
      <sz val="12"/>
      <color indexed="8"/>
      <name val="Aptos Display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41"/>
      </patternFill>
    </fill>
    <fill>
      <patternFill patternType="solid">
        <fgColor theme="0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>
      <alignment horizontal="left" vertical="top"/>
    </xf>
  </cellStyleXfs>
  <cellXfs count="13">
    <xf numFmtId="0" fontId="0" fillId="0" borderId="0" xfId="0"/>
    <xf numFmtId="0" fontId="2" fillId="3" borderId="1" xfId="0" applyFont="1" applyFill="1" applyBorder="1"/>
    <xf numFmtId="164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4" fontId="3" fillId="4" borderId="1" xfId="0" applyNumberFormat="1" applyFont="1" applyFill="1" applyBorder="1" applyAlignment="1">
      <alignment horizontal="right" vertical="center"/>
    </xf>
    <xf numFmtId="164" fontId="4" fillId="5" borderId="1" xfId="1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vertical="center"/>
    </xf>
    <xf numFmtId="4" fontId="3" fillId="5" borderId="1" xfId="0" applyNumberFormat="1" applyFont="1" applyFill="1" applyBorder="1" applyAlignment="1">
      <alignment vertical="center"/>
    </xf>
    <xf numFmtId="164" fontId="3" fillId="5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4" fontId="3" fillId="5" borderId="1" xfId="0" applyNumberFormat="1" applyFont="1" applyFill="1" applyBorder="1" applyAlignment="1">
      <alignment horizontal="right" vertical="center"/>
    </xf>
    <xf numFmtId="4" fontId="2" fillId="3" borderId="1" xfId="0" applyNumberFormat="1" applyFont="1" applyFill="1" applyBorder="1"/>
    <xf numFmtId="4" fontId="0" fillId="0" borderId="0" xfId="0" applyNumberFormat="1"/>
  </cellXfs>
  <cellStyles count="2">
    <cellStyle name="Normal" xfId="0" builtinId="0"/>
    <cellStyle name="S1" xfId="1" xr:uid="{6A3042E2-93FA-41DA-9E97-BCB8173900FF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41868-FC23-4B4F-B620-7D2AC6B6D360}">
  <dimension ref="A1:L18"/>
  <sheetViews>
    <sheetView tabSelected="1" workbookViewId="0">
      <selection activeCell="M8" sqref="M8"/>
    </sheetView>
  </sheetViews>
  <sheetFormatPr defaultRowHeight="15" x14ac:dyDescent="0.25"/>
  <cols>
    <col min="1" max="1" width="17" bestFit="1" customWidth="1"/>
    <col min="2" max="2" width="16" bestFit="1" customWidth="1"/>
    <col min="3" max="3" width="18.85546875" bestFit="1" customWidth="1"/>
    <col min="4" max="4" width="52" bestFit="1" customWidth="1"/>
    <col min="5" max="5" width="19.85546875" bestFit="1" customWidth="1"/>
    <col min="6" max="6" width="19.7109375" bestFit="1" customWidth="1"/>
    <col min="7" max="7" width="16.28515625" bestFit="1" customWidth="1"/>
    <col min="12" max="12" width="13.5703125" bestFit="1" customWidth="1"/>
  </cols>
  <sheetData>
    <row r="1" spans="1:12" ht="15.75" x14ac:dyDescent="0.25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12</v>
      </c>
      <c r="G1" s="1" t="s">
        <v>3</v>
      </c>
    </row>
    <row r="2" spans="1:12" ht="15.75" x14ac:dyDescent="0.25">
      <c r="A2" s="2">
        <v>45953</v>
      </c>
      <c r="B2" s="3" t="s">
        <v>4</v>
      </c>
      <c r="C2" s="3" t="s">
        <v>5</v>
      </c>
      <c r="D2" s="3" t="s">
        <v>6</v>
      </c>
      <c r="E2" s="4"/>
      <c r="F2" s="4">
        <v>20241548</v>
      </c>
      <c r="G2" s="11">
        <f>E2-F2</f>
        <v>-20241548</v>
      </c>
      <c r="L2" s="12"/>
    </row>
    <row r="3" spans="1:12" ht="15.75" x14ac:dyDescent="0.25">
      <c r="A3" s="2">
        <v>45953</v>
      </c>
      <c r="B3" s="3" t="s">
        <v>7</v>
      </c>
      <c r="C3" s="3" t="s">
        <v>8</v>
      </c>
      <c r="D3" s="3" t="s">
        <v>9</v>
      </c>
      <c r="E3" s="4"/>
      <c r="F3" s="4">
        <v>20667028</v>
      </c>
      <c r="G3" s="11">
        <f t="shared" ref="G3:G14" si="0">E3-F3</f>
        <v>-20667028</v>
      </c>
    </row>
    <row r="4" spans="1:12" ht="15.75" x14ac:dyDescent="0.25">
      <c r="A4" s="2">
        <v>45953</v>
      </c>
      <c r="B4" s="3" t="s">
        <v>4</v>
      </c>
      <c r="C4" s="3" t="s">
        <v>5</v>
      </c>
      <c r="D4" s="3" t="s">
        <v>13</v>
      </c>
      <c r="E4" s="4"/>
      <c r="F4" s="4">
        <v>1500000</v>
      </c>
      <c r="G4" s="11">
        <f t="shared" si="0"/>
        <v>-1500000</v>
      </c>
    </row>
    <row r="5" spans="1:12" ht="15.75" x14ac:dyDescent="0.25">
      <c r="A5" s="2">
        <v>45953</v>
      </c>
      <c r="B5" s="3" t="s">
        <v>4</v>
      </c>
      <c r="C5" s="3" t="s">
        <v>5</v>
      </c>
      <c r="D5" s="3" t="s">
        <v>13</v>
      </c>
      <c r="E5" s="4"/>
      <c r="F5" s="4">
        <v>10000000</v>
      </c>
      <c r="G5" s="11">
        <f t="shared" si="0"/>
        <v>-10000000</v>
      </c>
    </row>
    <row r="6" spans="1:12" ht="15.75" x14ac:dyDescent="0.25">
      <c r="A6" s="2">
        <v>45953</v>
      </c>
      <c r="B6" s="3" t="s">
        <v>4</v>
      </c>
      <c r="C6" s="3" t="s">
        <v>5</v>
      </c>
      <c r="D6" s="3" t="s">
        <v>14</v>
      </c>
      <c r="E6" s="4">
        <v>27000000</v>
      </c>
      <c r="F6" s="4"/>
      <c r="G6" s="11">
        <f t="shared" si="0"/>
        <v>27000000</v>
      </c>
    </row>
    <row r="7" spans="1:12" ht="15.75" x14ac:dyDescent="0.25">
      <c r="A7" s="5">
        <v>45952</v>
      </c>
      <c r="B7" s="6" t="s">
        <v>15</v>
      </c>
      <c r="C7" s="6" t="s">
        <v>16</v>
      </c>
      <c r="D7" s="6" t="s">
        <v>17</v>
      </c>
      <c r="E7" s="7">
        <v>25945688.34</v>
      </c>
      <c r="F7" s="6"/>
      <c r="G7" s="11">
        <f t="shared" si="0"/>
        <v>25945688.34</v>
      </c>
    </row>
    <row r="8" spans="1:12" ht="15.75" x14ac:dyDescent="0.25">
      <c r="A8" s="2">
        <v>45951</v>
      </c>
      <c r="B8" s="3" t="s">
        <v>7</v>
      </c>
      <c r="C8" s="3" t="s">
        <v>18</v>
      </c>
      <c r="D8" s="3" t="s">
        <v>9</v>
      </c>
      <c r="E8" s="4"/>
      <c r="F8" s="4">
        <v>4000</v>
      </c>
      <c r="G8" s="11">
        <f t="shared" si="0"/>
        <v>-4000</v>
      </c>
    </row>
    <row r="9" spans="1:12" ht="15.75" x14ac:dyDescent="0.25">
      <c r="A9" s="2">
        <v>45951</v>
      </c>
      <c r="B9" s="3" t="s">
        <v>4</v>
      </c>
      <c r="C9" s="3" t="s">
        <v>5</v>
      </c>
      <c r="D9" s="3" t="s">
        <v>19</v>
      </c>
      <c r="E9" s="4"/>
      <c r="F9" s="4">
        <v>250000000</v>
      </c>
      <c r="G9" s="11">
        <f t="shared" si="0"/>
        <v>-250000000</v>
      </c>
    </row>
    <row r="10" spans="1:12" ht="15.75" x14ac:dyDescent="0.25">
      <c r="A10" s="2">
        <v>45951</v>
      </c>
      <c r="B10" s="3" t="s">
        <v>4</v>
      </c>
      <c r="C10" s="3" t="s">
        <v>5</v>
      </c>
      <c r="D10" s="3" t="s">
        <v>19</v>
      </c>
      <c r="E10" s="4"/>
      <c r="F10" s="4">
        <v>94400000</v>
      </c>
      <c r="G10" s="11">
        <f t="shared" si="0"/>
        <v>-94400000</v>
      </c>
    </row>
    <row r="11" spans="1:12" ht="15.75" x14ac:dyDescent="0.25">
      <c r="A11" s="2">
        <v>45951</v>
      </c>
      <c r="B11" s="3" t="s">
        <v>4</v>
      </c>
      <c r="C11" s="3" t="s">
        <v>5</v>
      </c>
      <c r="D11" s="3" t="s">
        <v>19</v>
      </c>
      <c r="E11" s="4"/>
      <c r="F11" s="4">
        <v>250000000</v>
      </c>
      <c r="G11" s="11">
        <f t="shared" si="0"/>
        <v>-250000000</v>
      </c>
    </row>
    <row r="12" spans="1:12" ht="15.75" x14ac:dyDescent="0.25">
      <c r="A12" s="2">
        <v>45951</v>
      </c>
      <c r="B12" s="3" t="s">
        <v>4</v>
      </c>
      <c r="C12" s="3" t="s">
        <v>5</v>
      </c>
      <c r="D12" s="3" t="s">
        <v>19</v>
      </c>
      <c r="E12" s="4"/>
      <c r="F12" s="4">
        <v>250000000</v>
      </c>
      <c r="G12" s="11">
        <f t="shared" si="0"/>
        <v>-250000000</v>
      </c>
    </row>
    <row r="13" spans="1:12" ht="15.75" x14ac:dyDescent="0.25">
      <c r="A13" s="2">
        <v>45951</v>
      </c>
      <c r="B13" s="3" t="s">
        <v>15</v>
      </c>
      <c r="C13" s="3" t="s">
        <v>20</v>
      </c>
      <c r="D13" s="3" t="s">
        <v>21</v>
      </c>
      <c r="E13" s="4">
        <v>844155000</v>
      </c>
      <c r="F13" s="4"/>
      <c r="G13" s="11">
        <f t="shared" si="0"/>
        <v>844155000</v>
      </c>
    </row>
    <row r="14" spans="1:12" ht="15.75" x14ac:dyDescent="0.25">
      <c r="A14" s="8">
        <v>45950</v>
      </c>
      <c r="B14" s="9" t="s">
        <v>4</v>
      </c>
      <c r="C14" s="9" t="s">
        <v>5</v>
      </c>
      <c r="D14" s="9" t="s">
        <v>6</v>
      </c>
      <c r="E14" s="10"/>
      <c r="F14" s="10">
        <v>185852165.62</v>
      </c>
      <c r="G14" s="11">
        <f t="shared" si="0"/>
        <v>-185852165.62</v>
      </c>
    </row>
    <row r="15" spans="1:12" ht="15.75" x14ac:dyDescent="0.25">
      <c r="A15" s="8">
        <v>45950</v>
      </c>
      <c r="B15" s="9" t="s">
        <v>4</v>
      </c>
      <c r="C15" s="9" t="s">
        <v>5</v>
      </c>
      <c r="D15" s="9" t="s">
        <v>13</v>
      </c>
      <c r="E15" s="10"/>
      <c r="F15" s="10">
        <v>5500000</v>
      </c>
      <c r="G15" s="11">
        <f>E15-F15</f>
        <v>-5500000</v>
      </c>
    </row>
    <row r="16" spans="1:12" ht="15.75" x14ac:dyDescent="0.25">
      <c r="A16" s="8">
        <v>45950</v>
      </c>
      <c r="B16" s="9" t="s">
        <v>4</v>
      </c>
      <c r="C16" s="9" t="s">
        <v>5</v>
      </c>
      <c r="D16" s="9" t="s">
        <v>14</v>
      </c>
      <c r="E16" s="10">
        <v>135500000</v>
      </c>
      <c r="F16" s="10"/>
      <c r="G16" s="11">
        <f>E16-F16</f>
        <v>135500000</v>
      </c>
    </row>
    <row r="17" spans="1:7" ht="15.75" x14ac:dyDescent="0.25">
      <c r="A17" s="8">
        <v>45950</v>
      </c>
      <c r="B17" s="9" t="s">
        <v>15</v>
      </c>
      <c r="C17" s="9" t="s">
        <v>22</v>
      </c>
      <c r="D17" s="9" t="s">
        <v>23</v>
      </c>
      <c r="E17" s="10">
        <v>10753400</v>
      </c>
      <c r="F17" s="10"/>
      <c r="G17" s="11">
        <f>E17-F17</f>
        <v>10753400</v>
      </c>
    </row>
    <row r="18" spans="1:7" ht="15.75" x14ac:dyDescent="0.25">
      <c r="A18" s="8">
        <v>45950</v>
      </c>
      <c r="B18" s="9" t="s">
        <v>15</v>
      </c>
      <c r="C18" s="9" t="s">
        <v>24</v>
      </c>
      <c r="D18" s="9" t="s">
        <v>25</v>
      </c>
      <c r="E18" s="10">
        <v>45288000</v>
      </c>
      <c r="F18" s="10"/>
      <c r="G18" s="11">
        <f>E18-F18</f>
        <v>45288000</v>
      </c>
    </row>
  </sheetData>
  <conditionalFormatting sqref="G2:G18">
    <cfRule type="cellIs" dxfId="2" priority="1" operator="greaterThan">
      <formula>0</formula>
    </cfRule>
    <cfRule type="cellIs" dxfId="1" priority="2" operator="lessThan">
      <formula>0</formula>
    </cfRule>
  </conditionalFormatting>
  <conditionalFormatting sqref="M15">
    <cfRule type="cellIs" dxfId="0" priority="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Tan</dc:creator>
  <cp:lastModifiedBy>Brian Tan</cp:lastModifiedBy>
  <dcterms:created xsi:type="dcterms:W3CDTF">2025-10-28T15:49:21Z</dcterms:created>
  <dcterms:modified xsi:type="dcterms:W3CDTF">2025-10-28T17:22:22Z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723b72-cdca-4b0e-8559-86dab64fdcbe_Enabled">
    <vt:lpwstr>true</vt:lpwstr>
  </property>
  <property fmtid="{D5CDD505-2E9C-101B-9397-08002B2CF9AE}" pid="3" name="MSIP_Label_91723b72-cdca-4b0e-8559-86dab64fdcbe_SetDate">
    <vt:lpwstr>2025-10-28T15:52:57Z</vt:lpwstr>
  </property>
  <property fmtid="{D5CDD505-2E9C-101B-9397-08002B2CF9AE}" pid="4" name="MSIP_Label_91723b72-cdca-4b0e-8559-86dab64fdcbe_Method">
    <vt:lpwstr>Standard</vt:lpwstr>
  </property>
  <property fmtid="{D5CDD505-2E9C-101B-9397-08002B2CF9AE}" pid="5" name="MSIP_Label_91723b72-cdca-4b0e-8559-86dab64fdcbe_Name">
    <vt:lpwstr>Organization</vt:lpwstr>
  </property>
  <property fmtid="{D5CDD505-2E9C-101B-9397-08002B2CF9AE}" pid="6" name="MSIP_Label_91723b72-cdca-4b0e-8559-86dab64fdcbe_SiteId">
    <vt:lpwstr>efcad3e4-56d1-48d5-b006-472711be65e0</vt:lpwstr>
  </property>
  <property fmtid="{D5CDD505-2E9C-101B-9397-08002B2CF9AE}" pid="7" name="MSIP_Label_91723b72-cdca-4b0e-8559-86dab64fdcbe_ActionId">
    <vt:lpwstr>8cb1ec20-2613-4b71-8261-dc79bc285aff</vt:lpwstr>
  </property>
  <property fmtid="{D5CDD505-2E9C-101B-9397-08002B2CF9AE}" pid="8" name="MSIP_Label_91723b72-cdca-4b0e-8559-86dab64fdcbe_ContentBits">
    <vt:lpwstr>0</vt:lpwstr>
  </property>
  <property fmtid="{D5CDD505-2E9C-101B-9397-08002B2CF9AE}" pid="9" name="MSIP_Label_91723b72-cdca-4b0e-8559-86dab64fdcbe_Tag">
    <vt:lpwstr>10, 3, 0, 1</vt:lpwstr>
  </property>
</Properties>
</file>